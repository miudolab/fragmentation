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pinguari/Documents/GitHub/fragmentation/"/>
    </mc:Choice>
  </mc:AlternateContent>
  <xr:revisionPtr revIDLastSave="0" documentId="8_{F55D34A2-4B61-F345-A1F8-37006B8FFE1A}" xr6:coauthVersionLast="47" xr6:coauthVersionMax="47" xr10:uidLastSave="{00000000-0000-0000-0000-000000000000}"/>
  <bookViews>
    <workbookView xWindow="0" yWindow="1620" windowWidth="29400" windowHeight="15140" activeTab="1" xr2:uid="{545D1F70-79A0-544B-884E-403B63294190}"/>
  </bookViews>
  <sheets>
    <sheet name="Planilha1" sheetId="1" r:id="rId1"/>
    <sheet name="Gráfico1" sheetId="3" r:id="rId2"/>
    <sheet name="Planilh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D27" i="1" l="1"/>
  <c r="D28" i="1"/>
  <c r="D29" i="1"/>
  <c r="D30" i="1"/>
  <c r="D31" i="1"/>
  <c r="D26" i="1"/>
  <c r="E7" i="1"/>
  <c r="C7" i="1"/>
  <c r="F7" i="1" s="1"/>
  <c r="E6" i="1"/>
  <c r="C6" i="1"/>
  <c r="F6" i="1" s="1"/>
  <c r="E5" i="1"/>
  <c r="C5" i="1"/>
  <c r="F5" i="1" s="1"/>
  <c r="E4" i="1"/>
  <c r="C4" i="1"/>
  <c r="F4" i="1" s="1"/>
  <c r="E3" i="1"/>
  <c r="C3" i="1"/>
  <c r="F3" i="1" s="1"/>
  <c r="E2" i="1"/>
  <c r="C2" i="1"/>
  <c r="F2" i="1" s="1"/>
  <c r="E31" i="1"/>
  <c r="E30" i="1"/>
  <c r="E29" i="1"/>
  <c r="E28" i="1"/>
  <c r="E27" i="1"/>
  <c r="E26" i="1"/>
  <c r="C27" i="1"/>
  <c r="F27" i="1" s="1"/>
  <c r="C28" i="1"/>
  <c r="C29" i="1"/>
  <c r="F29" i="1" s="1"/>
  <c r="C30" i="1"/>
  <c r="C31" i="1"/>
  <c r="F31" i="1" s="1"/>
  <c r="C26" i="1"/>
  <c r="F26" i="1" s="1"/>
  <c r="E25" i="1"/>
  <c r="E24" i="1"/>
  <c r="E23" i="1"/>
  <c r="E22" i="1"/>
  <c r="E21" i="1"/>
  <c r="E20" i="1"/>
  <c r="E19" i="1"/>
  <c r="E18" i="1"/>
  <c r="E17" i="1"/>
  <c r="E16" i="1"/>
  <c r="E15" i="1"/>
  <c r="E14" i="1"/>
  <c r="C25" i="1"/>
  <c r="E9" i="1"/>
  <c r="E10" i="1"/>
  <c r="E11" i="1"/>
  <c r="E12" i="1"/>
  <c r="E13" i="1"/>
  <c r="E8" i="1"/>
  <c r="C9" i="1"/>
  <c r="F9" i="1" s="1"/>
  <c r="C10" i="1"/>
  <c r="F10" i="1" s="1"/>
  <c r="C11" i="1"/>
  <c r="F11" i="1" s="1"/>
  <c r="C12" i="1"/>
  <c r="F12" i="1" s="1"/>
  <c r="C13" i="1"/>
  <c r="F13" i="1" s="1"/>
  <c r="C14" i="1"/>
  <c r="F14" i="1" s="1"/>
  <c r="C15" i="1"/>
  <c r="F15" i="1" s="1"/>
  <c r="C16" i="1"/>
  <c r="F16" i="1" s="1"/>
  <c r="C17" i="1"/>
  <c r="F17" i="1" s="1"/>
  <c r="C18" i="1"/>
  <c r="F18" i="1" s="1"/>
  <c r="C19" i="1"/>
  <c r="F19" i="1" s="1"/>
  <c r="C20" i="1"/>
  <c r="C21" i="1"/>
  <c r="C22" i="1"/>
  <c r="C23" i="1"/>
  <c r="C24" i="1"/>
  <c r="C8" i="1"/>
  <c r="F30" i="1" l="1"/>
  <c r="F28" i="1"/>
  <c r="F25" i="1"/>
  <c r="F24" i="1"/>
  <c r="F22" i="1"/>
  <c r="F23" i="1"/>
  <c r="F21" i="1"/>
  <c r="F20" i="1"/>
</calcChain>
</file>

<file path=xl/sharedStrings.xml><?xml version="1.0" encoding="utf-8"?>
<sst xmlns="http://schemas.openxmlformats.org/spreadsheetml/2006/main" count="14" uniqueCount="9">
  <si>
    <t>X</t>
  </si>
  <si>
    <t>Xmax</t>
  </si>
  <si>
    <t>Fragmentos</t>
  </si>
  <si>
    <t>potencia</t>
  </si>
  <si>
    <t>H</t>
  </si>
  <si>
    <t>%H</t>
  </si>
  <si>
    <t>distancia para o vizinho mais próximo</t>
  </si>
  <si>
    <t>SD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</si>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</sst>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H=5%</c:v>
          </c:tx>
          <c:spPr>
            <a:ln w="412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Planilha2!$B$2:$B$7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xVal>
          <c:yVal>
            <c:numRef>
              <c:f>Planilha2!$C$2:$C$7</c:f>
              <c:numCache>
                <c:formatCode>#,##0</c:formatCode>
                <c:ptCount val="6"/>
                <c:pt idx="0">
                  <c:v>14.42564</c:v>
                </c:pt>
                <c:pt idx="1">
                  <c:v>9.4088919999999998</c:v>
                </c:pt>
                <c:pt idx="2">
                  <c:v>6.1449199999999999</c:v>
                </c:pt>
                <c:pt idx="3">
                  <c:v>4.619688</c:v>
                </c:pt>
                <c:pt idx="4">
                  <c:v>3.8478949999999998</c:v>
                </c:pt>
                <c:pt idx="5">
                  <c:v>3.2578299999999998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03-3B46-8F25-43CA0A1162EC}"/>
            </c:ext>
          </c:extLst>
        </c:ser>
        <c:ser>
          <c:idx val="1"/>
          <c:order val="1"/>
          <c:tx>
            <c:v>H=10%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12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Planilha2!$B$8:$B$13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xVal>
          <c:yVal>
            <c:numRef>
              <c:f>Planilha2!$C$8:$C$13</c:f>
              <c:numCache>
                <c:formatCode>#,##0</c:formatCode>
                <c:ptCount val="6"/>
                <c:pt idx="0">
                  <c:v>10.65401</c:v>
                </c:pt>
                <c:pt idx="1">
                  <c:v>6.6727660000000002</c:v>
                </c:pt>
                <c:pt idx="2">
                  <c:v>4.4085419999999997</c:v>
                </c:pt>
                <c:pt idx="3">
                  <c:v>3.525274</c:v>
                </c:pt>
                <c:pt idx="4">
                  <c:v>2.9970840000000001</c:v>
                </c:pt>
                <c:pt idx="5">
                  <c:v>2.663106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03-3B46-8F25-43CA0A1162EC}"/>
            </c:ext>
          </c:extLst>
        </c:ser>
        <c:ser>
          <c:idx val="2"/>
          <c:order val="2"/>
          <c:tx>
            <c:v>H=25%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12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Planilha2!$B$14:$B$19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xVal>
          <c:yVal>
            <c:numRef>
              <c:f>Planilha2!$C$14:$C$19</c:f>
              <c:numCache>
                <c:formatCode>#,##0</c:formatCode>
                <c:ptCount val="6"/>
                <c:pt idx="0">
                  <c:v>4.958736</c:v>
                </c:pt>
                <c:pt idx="1">
                  <c:v>3.5665260000000001</c:v>
                </c:pt>
                <c:pt idx="2">
                  <c:v>2.644533</c:v>
                </c:pt>
                <c:pt idx="3">
                  <c:v>2.2711190000000001</c:v>
                </c:pt>
                <c:pt idx="4">
                  <c:v>2.1376689999999998</c:v>
                </c:pt>
                <c:pt idx="5">
                  <c:v>2.0554920000000001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03-3B46-8F25-43CA0A1162EC}"/>
            </c:ext>
          </c:extLst>
        </c:ser>
        <c:ser>
          <c:idx val="3"/>
          <c:order val="3"/>
          <c:tx>
            <c:v>H=50%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12"/>
            <c:spPr>
              <a:noFill/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Planilha2!$B$20:$B$25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xVal>
          <c:yVal>
            <c:numRef>
              <c:f>Planilha2!$C$20:$C$25</c:f>
              <c:numCache>
                <c:formatCode>#,##0</c:formatCode>
                <c:ptCount val="6"/>
                <c:pt idx="0">
                  <c:v>2.2865190000000002</c:v>
                </c:pt>
                <c:pt idx="1">
                  <c:v>2.0331899999999998</c:v>
                </c:pt>
                <c:pt idx="2">
                  <c:v>1.8954599999999999</c:v>
                </c:pt>
                <c:pt idx="3">
                  <c:v>1.747871</c:v>
                </c:pt>
                <c:pt idx="4">
                  <c:v>1.5341579999999999</c:v>
                </c:pt>
                <c:pt idx="5">
                  <c:v>1.311463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03-3B46-8F25-43CA0A1162EC}"/>
            </c:ext>
          </c:extLst>
        </c:ser>
        <c:ser>
          <c:idx val="4"/>
          <c:order val="4"/>
          <c:tx>
            <c:v>H=75%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12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  <a:effectLst/>
            </c:spPr>
          </c:marker>
          <c:xVal>
            <c:numRef>
              <c:f>Planilha2!$B$26:$B$31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xVal>
          <c:yVal>
            <c:numRef>
              <c:f>Planilha2!$C$26:$C$31</c:f>
              <c:numCache>
                <c:formatCode>#,##0</c:formatCode>
                <c:ptCount val="6"/>
                <c:pt idx="0">
                  <c:v>1.98</c:v>
                </c:pt>
                <c:pt idx="1">
                  <c:v>1.641213</c:v>
                </c:pt>
                <c:pt idx="2">
                  <c:v>1.256302</c:v>
                </c:pt>
                <c:pt idx="3">
                  <c:v>1.1114599999999999</c:v>
                </c:pt>
                <c:pt idx="4">
                  <c:v>1.112279</c:v>
                </c:pt>
                <c:pt idx="5">
                  <c:v>1.1491750000000001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03-3B46-8F25-43CA0A116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443919"/>
        <c:axId val="648841023"/>
      </c:scatterChart>
      <c:valAx>
        <c:axId val="879443919"/>
        <c:scaling>
          <c:logBase val="2"/>
          <c:orientation val="minMax"/>
          <c:min val="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200" b="1">
                    <a:latin typeface="Arial" panose="020B0604020202020204" pitchFamily="34" charset="0"/>
                    <a:cs typeface="Arial" panose="020B0604020202020204" pitchFamily="34" charset="0"/>
                  </a:rPr>
                  <a:t>Number of fragments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762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8841023"/>
        <c:crosses val="autoZero"/>
        <c:crossBetween val="midCat"/>
      </c:valAx>
      <c:valAx>
        <c:axId val="648841023"/>
        <c:scaling>
          <c:orientation val="minMax"/>
          <c:max val="16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200" b="1" i="0" u="none" strike="noStrike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Mean shortest distance to the nearest fragment</a:t>
                </a:r>
                <a:endParaRPr lang="pt-BR" sz="22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9361703996060107E-3"/>
              <c:y val="5.095080303301689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635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9443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564692303567805"/>
          <c:y val="0.10362724806124414"/>
          <c:w val="0.1569417257720705"/>
          <c:h val="0.33147418419673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BEAF5C9-D20F-B649-A4F9-6E8C666EE6F9}">
  <sheetPr/>
  <sheetViews>
    <sheetView tabSelected="1" zoomScale="111" workbookViewId="0" zoomToFit="1"/>
  </sheetViews>
  <pageMargins left="0.511811024" right="0.511811024" top="0.78740157499999996" bottom="0.78740157499999996" header="0.31496062000000002" footer="0.31496062000000002"/>
  <pageSetup paperSize="9" orientation="landscape" horizontalDpi="0" verticalDpi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79459" cy="602964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5D212A-05E7-9361-F377-CA4EEF97DB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73A46-3A19-CD4C-B8C0-6CFAA4313496}">
  <dimension ref="A1:I31"/>
  <sheetViews>
    <sheetView topLeftCell="A7" workbookViewId="0">
      <selection activeCell="D22" sqref="D22"/>
    </sheetView>
  </sheetViews>
  <sheetFormatPr baseColWidth="10" defaultRowHeight="16" x14ac:dyDescent="0.2"/>
  <cols>
    <col min="6" max="6" width="5.1640625" bestFit="1" customWidth="1"/>
    <col min="7" max="7" width="31.33203125" bestFit="1" customWidth="1"/>
    <col min="8" max="8" width="4.6640625" bestFit="1" customWidth="1"/>
    <col min="9" max="9" width="4.1640625" bestFit="1" customWidth="1"/>
  </cols>
  <sheetData>
    <row r="1" spans="1:9" s="3" customFormat="1" x14ac:dyDescent="0.2">
      <c r="A1" s="3" t="s">
        <v>3</v>
      </c>
      <c r="B1" s="3" t="s">
        <v>0</v>
      </c>
      <c r="C1" s="3" t="s">
        <v>1</v>
      </c>
      <c r="D1" s="3" t="s">
        <v>4</v>
      </c>
      <c r="E1" s="3" t="s">
        <v>2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>
        <v>1</v>
      </c>
      <c r="B2">
        <v>50</v>
      </c>
      <c r="C2">
        <f>B2*B2</f>
        <v>2500</v>
      </c>
      <c r="D2">
        <v>125</v>
      </c>
      <c r="E2">
        <f t="shared" ref="E2:E25" si="0">POWER(2,A2)</f>
        <v>2</v>
      </c>
      <c r="F2">
        <f>D2/C2</f>
        <v>0.05</v>
      </c>
      <c r="G2" s="2">
        <v>14.42564</v>
      </c>
      <c r="H2" s="2">
        <v>9.520899</v>
      </c>
      <c r="I2" s="1">
        <v>100</v>
      </c>
    </row>
    <row r="3" spans="1:9" x14ac:dyDescent="0.2">
      <c r="A3">
        <v>2</v>
      </c>
      <c r="B3">
        <v>50</v>
      </c>
      <c r="C3">
        <f t="shared" ref="C3:C7" si="1">B3*B3</f>
        <v>2500</v>
      </c>
      <c r="D3">
        <v>125</v>
      </c>
      <c r="E3">
        <f t="shared" si="0"/>
        <v>4</v>
      </c>
      <c r="F3">
        <f t="shared" ref="F3:F7" si="2">D3/C3</f>
        <v>0.05</v>
      </c>
      <c r="G3" s="2">
        <v>9.4088919999999998</v>
      </c>
      <c r="H3" s="2">
        <v>4.5469840000000001</v>
      </c>
      <c r="I3" s="1">
        <v>100</v>
      </c>
    </row>
    <row r="4" spans="1:9" x14ac:dyDescent="0.2">
      <c r="A4">
        <v>3</v>
      </c>
      <c r="B4">
        <v>50</v>
      </c>
      <c r="C4">
        <f t="shared" si="1"/>
        <v>2500</v>
      </c>
      <c r="D4">
        <v>125</v>
      </c>
      <c r="E4">
        <f t="shared" si="0"/>
        <v>8</v>
      </c>
      <c r="F4">
        <f t="shared" si="2"/>
        <v>0.05</v>
      </c>
      <c r="G4" s="2">
        <v>6.1449199999999999</v>
      </c>
      <c r="H4" s="2">
        <v>1.742167</v>
      </c>
      <c r="I4" s="1">
        <v>100</v>
      </c>
    </row>
    <row r="5" spans="1:9" x14ac:dyDescent="0.2">
      <c r="A5">
        <v>4</v>
      </c>
      <c r="B5">
        <v>50</v>
      </c>
      <c r="C5">
        <f t="shared" si="1"/>
        <v>2500</v>
      </c>
      <c r="D5">
        <v>125</v>
      </c>
      <c r="E5">
        <f t="shared" si="0"/>
        <v>16</v>
      </c>
      <c r="F5">
        <f t="shared" si="2"/>
        <v>0.05</v>
      </c>
      <c r="G5" s="2">
        <v>4.619688</v>
      </c>
      <c r="H5" s="2">
        <v>0.68286270000000004</v>
      </c>
      <c r="I5" s="1">
        <v>100</v>
      </c>
    </row>
    <row r="6" spans="1:9" x14ac:dyDescent="0.2">
      <c r="A6">
        <v>5</v>
      </c>
      <c r="B6">
        <v>50</v>
      </c>
      <c r="C6">
        <f t="shared" si="1"/>
        <v>2500</v>
      </c>
      <c r="D6">
        <v>125</v>
      </c>
      <c r="E6">
        <f t="shared" si="0"/>
        <v>32</v>
      </c>
      <c r="F6">
        <f t="shared" si="2"/>
        <v>0.05</v>
      </c>
      <c r="G6" s="2">
        <v>3.8478949999999998</v>
      </c>
      <c r="H6" s="2">
        <v>0.35547299999999998</v>
      </c>
      <c r="I6" s="1">
        <v>100</v>
      </c>
    </row>
    <row r="7" spans="1:9" x14ac:dyDescent="0.2">
      <c r="A7">
        <v>6</v>
      </c>
      <c r="B7">
        <v>50</v>
      </c>
      <c r="C7">
        <f t="shared" si="1"/>
        <v>2500</v>
      </c>
      <c r="D7">
        <v>125</v>
      </c>
      <c r="E7">
        <f t="shared" si="0"/>
        <v>64</v>
      </c>
      <c r="F7">
        <f t="shared" si="2"/>
        <v>0.05</v>
      </c>
      <c r="G7" s="2">
        <v>3.2578299999999998</v>
      </c>
      <c r="H7" s="2">
        <v>0.16412170000000001</v>
      </c>
      <c r="I7" s="1">
        <v>100</v>
      </c>
    </row>
    <row r="8" spans="1:9" x14ac:dyDescent="0.2">
      <c r="A8">
        <v>1</v>
      </c>
      <c r="B8">
        <v>50</v>
      </c>
      <c r="C8">
        <f>B8*B8</f>
        <v>2500</v>
      </c>
      <c r="D8">
        <v>250</v>
      </c>
      <c r="E8">
        <f t="shared" si="0"/>
        <v>2</v>
      </c>
      <c r="F8">
        <f>D8/C8</f>
        <v>0.1</v>
      </c>
      <c r="G8" s="2">
        <v>10.65401</v>
      </c>
      <c r="H8" s="2">
        <v>8.6656189999999995</v>
      </c>
      <c r="I8" s="1">
        <v>100</v>
      </c>
    </row>
    <row r="9" spans="1:9" x14ac:dyDescent="0.2">
      <c r="A9">
        <v>2</v>
      </c>
      <c r="B9">
        <v>50</v>
      </c>
      <c r="C9">
        <f t="shared" ref="C9:C31" si="3">B9*B9</f>
        <v>2500</v>
      </c>
      <c r="D9">
        <v>250</v>
      </c>
      <c r="E9">
        <f t="shared" si="0"/>
        <v>4</v>
      </c>
      <c r="F9">
        <f t="shared" ref="F9:F31" si="4">D9/C9</f>
        <v>0.1</v>
      </c>
      <c r="G9" s="2">
        <v>6.6727660000000002</v>
      </c>
      <c r="H9" s="2">
        <v>2.9699629999999999</v>
      </c>
      <c r="I9" s="1">
        <v>100</v>
      </c>
    </row>
    <row r="10" spans="1:9" x14ac:dyDescent="0.2">
      <c r="A10">
        <v>3</v>
      </c>
      <c r="B10">
        <v>50</v>
      </c>
      <c r="C10">
        <f t="shared" si="3"/>
        <v>2500</v>
      </c>
      <c r="D10">
        <v>250</v>
      </c>
      <c r="E10">
        <f t="shared" si="0"/>
        <v>8</v>
      </c>
      <c r="F10">
        <f t="shared" si="4"/>
        <v>0.1</v>
      </c>
      <c r="G10" s="2">
        <v>4.4085419999999997</v>
      </c>
      <c r="H10" s="2">
        <v>1.1913260000000001</v>
      </c>
      <c r="I10" s="1">
        <v>100</v>
      </c>
    </row>
    <row r="11" spans="1:9" x14ac:dyDescent="0.2">
      <c r="A11">
        <v>4</v>
      </c>
      <c r="B11">
        <v>50</v>
      </c>
      <c r="C11">
        <f t="shared" si="3"/>
        <v>2500</v>
      </c>
      <c r="D11">
        <v>250</v>
      </c>
      <c r="E11">
        <f t="shared" si="0"/>
        <v>16</v>
      </c>
      <c r="F11">
        <f t="shared" si="4"/>
        <v>0.1</v>
      </c>
      <c r="G11" s="2">
        <v>3.525274</v>
      </c>
      <c r="H11" s="2">
        <v>0.64037259999999996</v>
      </c>
      <c r="I11" s="1">
        <v>100</v>
      </c>
    </row>
    <row r="12" spans="1:9" x14ac:dyDescent="0.2">
      <c r="A12">
        <v>5</v>
      </c>
      <c r="B12">
        <v>50</v>
      </c>
      <c r="C12">
        <f t="shared" si="3"/>
        <v>2500</v>
      </c>
      <c r="D12">
        <v>250</v>
      </c>
      <c r="E12">
        <f t="shared" si="0"/>
        <v>32</v>
      </c>
      <c r="F12">
        <f t="shared" si="4"/>
        <v>0.1</v>
      </c>
      <c r="G12" s="2">
        <v>2.9970840000000001</v>
      </c>
      <c r="H12" s="2">
        <v>0.2386597</v>
      </c>
      <c r="I12" s="1">
        <v>100</v>
      </c>
    </row>
    <row r="13" spans="1:9" x14ac:dyDescent="0.2">
      <c r="A13">
        <v>6</v>
      </c>
      <c r="B13">
        <v>50</v>
      </c>
      <c r="C13">
        <f t="shared" si="3"/>
        <v>2500</v>
      </c>
      <c r="D13">
        <v>250</v>
      </c>
      <c r="E13">
        <f t="shared" si="0"/>
        <v>64</v>
      </c>
      <c r="F13">
        <f t="shared" si="4"/>
        <v>0.1</v>
      </c>
      <c r="G13" s="2">
        <v>2.663106</v>
      </c>
      <c r="H13" s="2">
        <v>0.11522060000000001</v>
      </c>
      <c r="I13" s="1">
        <v>100</v>
      </c>
    </row>
    <row r="14" spans="1:9" x14ac:dyDescent="0.2">
      <c r="A14">
        <v>1</v>
      </c>
      <c r="B14">
        <v>50</v>
      </c>
      <c r="C14">
        <f t="shared" si="3"/>
        <v>2500</v>
      </c>
      <c r="D14">
        <v>625</v>
      </c>
      <c r="E14">
        <f t="shared" si="0"/>
        <v>2</v>
      </c>
      <c r="F14">
        <f t="shared" si="4"/>
        <v>0.25</v>
      </c>
      <c r="G14" s="2">
        <v>4.958736</v>
      </c>
      <c r="H14" s="2">
        <v>4.7525579999999996</v>
      </c>
      <c r="I14" s="1">
        <v>100</v>
      </c>
    </row>
    <row r="15" spans="1:9" x14ac:dyDescent="0.2">
      <c r="A15">
        <v>2</v>
      </c>
      <c r="B15">
        <v>50</v>
      </c>
      <c r="C15">
        <f t="shared" si="3"/>
        <v>2500</v>
      </c>
      <c r="D15">
        <v>625</v>
      </c>
      <c r="E15">
        <f t="shared" si="0"/>
        <v>4</v>
      </c>
      <c r="F15">
        <f t="shared" si="4"/>
        <v>0.25</v>
      </c>
      <c r="G15" s="2">
        <v>3.5665260000000001</v>
      </c>
      <c r="H15" s="2">
        <v>1.5597300000000001</v>
      </c>
      <c r="I15" s="1">
        <v>100</v>
      </c>
    </row>
    <row r="16" spans="1:9" x14ac:dyDescent="0.2">
      <c r="A16">
        <v>3</v>
      </c>
      <c r="B16">
        <v>50</v>
      </c>
      <c r="C16">
        <f t="shared" si="3"/>
        <v>2500</v>
      </c>
      <c r="D16">
        <v>625</v>
      </c>
      <c r="E16">
        <f t="shared" si="0"/>
        <v>8</v>
      </c>
      <c r="F16">
        <f t="shared" si="4"/>
        <v>0.25</v>
      </c>
      <c r="G16" s="2">
        <v>2.644533</v>
      </c>
      <c r="H16" s="2">
        <v>0.68698409999999999</v>
      </c>
      <c r="I16" s="1">
        <v>100</v>
      </c>
    </row>
    <row r="17" spans="1:9" x14ac:dyDescent="0.2">
      <c r="A17">
        <v>4</v>
      </c>
      <c r="B17">
        <v>50</v>
      </c>
      <c r="C17">
        <f t="shared" si="3"/>
        <v>2500</v>
      </c>
      <c r="D17">
        <v>625</v>
      </c>
      <c r="E17">
        <f t="shared" si="0"/>
        <v>16</v>
      </c>
      <c r="F17">
        <f t="shared" si="4"/>
        <v>0.25</v>
      </c>
      <c r="G17" s="2">
        <v>2.2711190000000001</v>
      </c>
      <c r="H17" s="2">
        <v>0.23993929999999999</v>
      </c>
      <c r="I17" s="1">
        <v>100</v>
      </c>
    </row>
    <row r="18" spans="1:9" x14ac:dyDescent="0.2">
      <c r="A18">
        <v>5</v>
      </c>
      <c r="B18">
        <v>50</v>
      </c>
      <c r="C18">
        <f t="shared" si="3"/>
        <v>2500</v>
      </c>
      <c r="D18">
        <v>625</v>
      </c>
      <c r="E18">
        <f t="shared" si="0"/>
        <v>32</v>
      </c>
      <c r="F18">
        <f t="shared" si="4"/>
        <v>0.25</v>
      </c>
      <c r="G18" s="2">
        <v>2.1376689999999998</v>
      </c>
      <c r="H18" s="2">
        <v>0.1030729</v>
      </c>
      <c r="I18" s="1">
        <v>100</v>
      </c>
    </row>
    <row r="19" spans="1:9" x14ac:dyDescent="0.2">
      <c r="A19">
        <v>6</v>
      </c>
      <c r="B19">
        <v>50</v>
      </c>
      <c r="C19">
        <f t="shared" si="3"/>
        <v>2500</v>
      </c>
      <c r="D19">
        <v>625</v>
      </c>
      <c r="E19">
        <f t="shared" si="0"/>
        <v>64</v>
      </c>
      <c r="F19">
        <f t="shared" si="4"/>
        <v>0.25</v>
      </c>
      <c r="G19" s="2">
        <v>2.0554920000000001</v>
      </c>
      <c r="H19" s="2">
        <v>5.5901350000000002E-2</v>
      </c>
      <c r="I19" s="1">
        <v>100</v>
      </c>
    </row>
    <row r="20" spans="1:9" x14ac:dyDescent="0.2">
      <c r="A20">
        <v>1</v>
      </c>
      <c r="B20">
        <v>50</v>
      </c>
      <c r="C20">
        <f t="shared" si="3"/>
        <v>2500</v>
      </c>
      <c r="D20">
        <v>1250</v>
      </c>
      <c r="E20">
        <f t="shared" si="0"/>
        <v>2</v>
      </c>
      <c r="F20">
        <f t="shared" si="4"/>
        <v>0.5</v>
      </c>
      <c r="G20" s="2">
        <v>2.2865190000000002</v>
      </c>
      <c r="H20" s="2">
        <v>0.99586459999999999</v>
      </c>
      <c r="I20" s="1">
        <v>100</v>
      </c>
    </row>
    <row r="21" spans="1:9" x14ac:dyDescent="0.2">
      <c r="A21">
        <v>2</v>
      </c>
      <c r="B21">
        <v>50</v>
      </c>
      <c r="C21">
        <f t="shared" si="3"/>
        <v>2500</v>
      </c>
      <c r="D21">
        <v>1250</v>
      </c>
      <c r="E21">
        <f t="shared" si="0"/>
        <v>4</v>
      </c>
      <c r="F21">
        <f t="shared" si="4"/>
        <v>0.5</v>
      </c>
      <c r="G21" s="2">
        <v>2.0331899999999998</v>
      </c>
      <c r="H21" s="2">
        <v>0.39223710000000001</v>
      </c>
      <c r="I21" s="1">
        <v>100</v>
      </c>
    </row>
    <row r="22" spans="1:9" x14ac:dyDescent="0.2">
      <c r="A22">
        <v>3</v>
      </c>
      <c r="B22">
        <v>50</v>
      </c>
      <c r="C22">
        <f t="shared" si="3"/>
        <v>2500</v>
      </c>
      <c r="D22">
        <v>1250</v>
      </c>
      <c r="E22">
        <f t="shared" si="0"/>
        <v>8</v>
      </c>
      <c r="F22">
        <f t="shared" si="4"/>
        <v>0.5</v>
      </c>
      <c r="G22" s="2">
        <v>1.8954599999999999</v>
      </c>
      <c r="H22" s="2">
        <v>0.2206998</v>
      </c>
      <c r="I22" s="1">
        <v>100</v>
      </c>
    </row>
    <row r="23" spans="1:9" x14ac:dyDescent="0.2">
      <c r="A23">
        <v>4</v>
      </c>
      <c r="B23">
        <v>50</v>
      </c>
      <c r="C23">
        <f t="shared" si="3"/>
        <v>2500</v>
      </c>
      <c r="D23">
        <v>1250</v>
      </c>
      <c r="E23">
        <f t="shared" si="0"/>
        <v>16</v>
      </c>
      <c r="F23">
        <f t="shared" si="4"/>
        <v>0.5</v>
      </c>
      <c r="G23" s="2">
        <v>1.747871</v>
      </c>
      <c r="H23" s="2">
        <v>0.18128320000000001</v>
      </c>
      <c r="I23" s="1">
        <v>100</v>
      </c>
    </row>
    <row r="24" spans="1:9" x14ac:dyDescent="0.2">
      <c r="A24">
        <v>5</v>
      </c>
      <c r="B24">
        <v>50</v>
      </c>
      <c r="C24">
        <f t="shared" si="3"/>
        <v>2500</v>
      </c>
      <c r="D24">
        <v>1250</v>
      </c>
      <c r="E24">
        <f t="shared" si="0"/>
        <v>32</v>
      </c>
      <c r="F24">
        <f t="shared" si="4"/>
        <v>0.5</v>
      </c>
      <c r="G24" s="2">
        <v>1.5341579999999999</v>
      </c>
      <c r="H24" s="2">
        <v>0.1557085</v>
      </c>
      <c r="I24" s="1">
        <v>100</v>
      </c>
    </row>
    <row r="25" spans="1:9" x14ac:dyDescent="0.2">
      <c r="A25">
        <v>6</v>
      </c>
      <c r="B25">
        <v>50</v>
      </c>
      <c r="C25">
        <f t="shared" si="3"/>
        <v>2500</v>
      </c>
      <c r="D25">
        <v>1250</v>
      </c>
      <c r="E25">
        <f t="shared" si="0"/>
        <v>64</v>
      </c>
      <c r="F25">
        <f t="shared" si="4"/>
        <v>0.5</v>
      </c>
      <c r="G25" s="2">
        <v>1.311463</v>
      </c>
      <c r="H25" s="2">
        <v>9.6282820000000005E-2</v>
      </c>
      <c r="I25" s="1">
        <v>100</v>
      </c>
    </row>
    <row r="26" spans="1:9" x14ac:dyDescent="0.2">
      <c r="A26">
        <v>1</v>
      </c>
      <c r="B26">
        <v>50</v>
      </c>
      <c r="C26">
        <f t="shared" si="3"/>
        <v>2500</v>
      </c>
      <c r="D26">
        <f>C26*0.75</f>
        <v>1875</v>
      </c>
      <c r="E26">
        <f t="shared" ref="E26:E31" si="5">POWER(2,A26)</f>
        <v>2</v>
      </c>
      <c r="F26">
        <f t="shared" si="4"/>
        <v>0.75</v>
      </c>
      <c r="G26">
        <v>1.98</v>
      </c>
      <c r="H26" s="2">
        <v>0.14070530000000001</v>
      </c>
      <c r="I26" s="1">
        <v>100</v>
      </c>
    </row>
    <row r="27" spans="1:9" x14ac:dyDescent="0.2">
      <c r="A27">
        <v>2</v>
      </c>
      <c r="B27">
        <v>50</v>
      </c>
      <c r="C27">
        <f t="shared" si="3"/>
        <v>2500</v>
      </c>
      <c r="D27">
        <f t="shared" ref="D27:D31" si="6">C27*0.75</f>
        <v>1875</v>
      </c>
      <c r="E27">
        <f t="shared" si="5"/>
        <v>4</v>
      </c>
      <c r="F27">
        <f t="shared" si="4"/>
        <v>0.75</v>
      </c>
      <c r="G27" s="2">
        <v>1.641213</v>
      </c>
      <c r="H27" s="2">
        <v>0.38639760000000001</v>
      </c>
      <c r="I27" s="1">
        <v>100</v>
      </c>
    </row>
    <row r="28" spans="1:9" x14ac:dyDescent="0.2">
      <c r="A28">
        <v>3</v>
      </c>
      <c r="B28">
        <v>50</v>
      </c>
      <c r="C28">
        <f t="shared" si="3"/>
        <v>2500</v>
      </c>
      <c r="D28">
        <f t="shared" si="6"/>
        <v>1875</v>
      </c>
      <c r="E28">
        <f t="shared" si="5"/>
        <v>8</v>
      </c>
      <c r="F28">
        <f t="shared" si="4"/>
        <v>0.75</v>
      </c>
      <c r="G28" s="2">
        <v>1.256302</v>
      </c>
      <c r="H28" s="2">
        <v>0.23022619999999999</v>
      </c>
      <c r="I28" s="1">
        <v>100</v>
      </c>
    </row>
    <row r="29" spans="1:9" x14ac:dyDescent="0.2">
      <c r="A29">
        <v>4</v>
      </c>
      <c r="B29">
        <v>50</v>
      </c>
      <c r="C29">
        <f t="shared" si="3"/>
        <v>2500</v>
      </c>
      <c r="D29">
        <f t="shared" si="6"/>
        <v>1875</v>
      </c>
      <c r="E29">
        <f t="shared" si="5"/>
        <v>16</v>
      </c>
      <c r="F29">
        <f t="shared" si="4"/>
        <v>0.75</v>
      </c>
      <c r="G29" s="2">
        <v>1.1114599999999999</v>
      </c>
      <c r="H29" s="2">
        <v>0.1190889</v>
      </c>
      <c r="I29" s="1">
        <v>100</v>
      </c>
    </row>
    <row r="30" spans="1:9" x14ac:dyDescent="0.2">
      <c r="A30">
        <v>5</v>
      </c>
      <c r="B30">
        <v>50</v>
      </c>
      <c r="C30">
        <f t="shared" si="3"/>
        <v>2500</v>
      </c>
      <c r="D30">
        <f t="shared" si="6"/>
        <v>1875</v>
      </c>
      <c r="E30">
        <f t="shared" si="5"/>
        <v>32</v>
      </c>
      <c r="F30">
        <f t="shared" si="4"/>
        <v>0.75</v>
      </c>
      <c r="G30" s="2">
        <v>1.112279</v>
      </c>
      <c r="H30" s="2">
        <v>7.8935950000000005E-2</v>
      </c>
      <c r="I30" s="1">
        <v>100</v>
      </c>
    </row>
    <row r="31" spans="1:9" x14ac:dyDescent="0.2">
      <c r="A31">
        <v>6</v>
      </c>
      <c r="B31">
        <v>50</v>
      </c>
      <c r="C31">
        <f t="shared" si="3"/>
        <v>2500</v>
      </c>
      <c r="D31">
        <f t="shared" si="6"/>
        <v>1875</v>
      </c>
      <c r="E31">
        <f t="shared" si="5"/>
        <v>64</v>
      </c>
      <c r="F31">
        <f t="shared" si="4"/>
        <v>0.75</v>
      </c>
      <c r="G31" s="2">
        <v>1.1491750000000001</v>
      </c>
      <c r="H31" s="2">
        <v>5.94043E-2</v>
      </c>
      <c r="I31" s="1">
        <v>100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D839C-E99F-6F41-90A5-BD731D824582}">
  <dimension ref="A1:E31"/>
  <sheetViews>
    <sheetView workbookViewId="0">
      <selection sqref="A1:C1048576"/>
    </sheetView>
  </sheetViews>
  <sheetFormatPr baseColWidth="10" defaultRowHeight="16" x14ac:dyDescent="0.2"/>
  <cols>
    <col min="3" max="3" width="31.33203125" bestFit="1" customWidth="1"/>
    <col min="4" max="4" width="4.6640625" bestFit="1" customWidth="1"/>
    <col min="5" max="5" width="4.1640625" bestFit="1" customWidth="1"/>
  </cols>
  <sheetData>
    <row r="1" spans="1:5" s="3" customFormat="1" x14ac:dyDescent="0.2">
      <c r="A1" s="3" t="s">
        <v>4</v>
      </c>
      <c r="B1" s="3" t="s">
        <v>2</v>
      </c>
      <c r="C1" s="3" t="s">
        <v>6</v>
      </c>
      <c r="D1" s="3" t="s">
        <v>7</v>
      </c>
      <c r="E1" s="3" t="s">
        <v>8</v>
      </c>
    </row>
    <row r="2" spans="1:5" x14ac:dyDescent="0.2">
      <c r="A2">
        <v>125</v>
      </c>
      <c r="B2">
        <v>2</v>
      </c>
      <c r="C2" s="1">
        <v>14.42564</v>
      </c>
      <c r="D2" s="2">
        <v>9.520899</v>
      </c>
      <c r="E2" s="1">
        <v>100</v>
      </c>
    </row>
    <row r="3" spans="1:5" x14ac:dyDescent="0.2">
      <c r="A3">
        <v>125</v>
      </c>
      <c r="B3">
        <v>4</v>
      </c>
      <c r="C3" s="1">
        <v>9.4088919999999998</v>
      </c>
      <c r="D3" s="2">
        <v>4.5469840000000001</v>
      </c>
      <c r="E3" s="1">
        <v>100</v>
      </c>
    </row>
    <row r="4" spans="1:5" x14ac:dyDescent="0.2">
      <c r="A4">
        <v>125</v>
      </c>
      <c r="B4">
        <v>8</v>
      </c>
      <c r="C4" s="1">
        <v>6.1449199999999999</v>
      </c>
      <c r="D4" s="2">
        <v>1.742167</v>
      </c>
      <c r="E4" s="1">
        <v>100</v>
      </c>
    </row>
    <row r="5" spans="1:5" x14ac:dyDescent="0.2">
      <c r="A5">
        <v>125</v>
      </c>
      <c r="B5">
        <v>16</v>
      </c>
      <c r="C5" s="1">
        <v>4.619688</v>
      </c>
      <c r="D5" s="2">
        <v>0.68286270000000004</v>
      </c>
      <c r="E5" s="1">
        <v>100</v>
      </c>
    </row>
    <row r="6" spans="1:5" x14ac:dyDescent="0.2">
      <c r="A6">
        <v>125</v>
      </c>
      <c r="B6">
        <v>32</v>
      </c>
      <c r="C6" s="1">
        <v>3.8478949999999998</v>
      </c>
      <c r="D6" s="2">
        <v>0.35547299999999998</v>
      </c>
      <c r="E6" s="1">
        <v>100</v>
      </c>
    </row>
    <row r="7" spans="1:5" x14ac:dyDescent="0.2">
      <c r="A7">
        <v>125</v>
      </c>
      <c r="B7">
        <v>64</v>
      </c>
      <c r="C7" s="1">
        <v>3.2578299999999998</v>
      </c>
      <c r="D7" s="2">
        <v>0.16412170000000001</v>
      </c>
      <c r="E7" s="1">
        <v>100</v>
      </c>
    </row>
    <row r="8" spans="1:5" x14ac:dyDescent="0.2">
      <c r="A8">
        <v>250</v>
      </c>
      <c r="B8">
        <v>2</v>
      </c>
      <c r="C8" s="1">
        <v>10.65401</v>
      </c>
      <c r="D8" s="2">
        <v>8.6656189999999995</v>
      </c>
      <c r="E8" s="1">
        <v>100</v>
      </c>
    </row>
    <row r="9" spans="1:5" x14ac:dyDescent="0.2">
      <c r="A9">
        <v>250</v>
      </c>
      <c r="B9">
        <v>4</v>
      </c>
      <c r="C9" s="1">
        <v>6.6727660000000002</v>
      </c>
      <c r="D9" s="2">
        <v>2.9699629999999999</v>
      </c>
      <c r="E9" s="1">
        <v>100</v>
      </c>
    </row>
    <row r="10" spans="1:5" x14ac:dyDescent="0.2">
      <c r="A10">
        <v>250</v>
      </c>
      <c r="B10">
        <v>8</v>
      </c>
      <c r="C10" s="1">
        <v>4.4085419999999997</v>
      </c>
      <c r="D10" s="2">
        <v>1.1913260000000001</v>
      </c>
      <c r="E10" s="1">
        <v>100</v>
      </c>
    </row>
    <row r="11" spans="1:5" x14ac:dyDescent="0.2">
      <c r="A11">
        <v>250</v>
      </c>
      <c r="B11">
        <v>16</v>
      </c>
      <c r="C11" s="1">
        <v>3.525274</v>
      </c>
      <c r="D11" s="2">
        <v>0.64037259999999996</v>
      </c>
      <c r="E11" s="1">
        <v>100</v>
      </c>
    </row>
    <row r="12" spans="1:5" x14ac:dyDescent="0.2">
      <c r="A12">
        <v>250</v>
      </c>
      <c r="B12">
        <v>32</v>
      </c>
      <c r="C12" s="1">
        <v>2.9970840000000001</v>
      </c>
      <c r="D12" s="2">
        <v>0.2386597</v>
      </c>
      <c r="E12" s="1">
        <v>100</v>
      </c>
    </row>
    <row r="13" spans="1:5" x14ac:dyDescent="0.2">
      <c r="A13">
        <v>250</v>
      </c>
      <c r="B13">
        <v>64</v>
      </c>
      <c r="C13" s="1">
        <v>2.663106</v>
      </c>
      <c r="D13" s="2">
        <v>0.11522060000000001</v>
      </c>
      <c r="E13" s="1">
        <v>100</v>
      </c>
    </row>
    <row r="14" spans="1:5" x14ac:dyDescent="0.2">
      <c r="A14">
        <v>625</v>
      </c>
      <c r="B14">
        <v>2</v>
      </c>
      <c r="C14" s="1">
        <v>4.958736</v>
      </c>
      <c r="D14" s="2">
        <v>4.7525579999999996</v>
      </c>
      <c r="E14" s="1">
        <v>100</v>
      </c>
    </row>
    <row r="15" spans="1:5" x14ac:dyDescent="0.2">
      <c r="A15">
        <v>625</v>
      </c>
      <c r="B15">
        <v>4</v>
      </c>
      <c r="C15" s="1">
        <v>3.5665260000000001</v>
      </c>
      <c r="D15" s="2">
        <v>1.5597300000000001</v>
      </c>
      <c r="E15" s="1">
        <v>100</v>
      </c>
    </row>
    <row r="16" spans="1:5" x14ac:dyDescent="0.2">
      <c r="A16">
        <v>625</v>
      </c>
      <c r="B16">
        <v>8</v>
      </c>
      <c r="C16" s="1">
        <v>2.644533</v>
      </c>
      <c r="D16" s="2">
        <v>0.68698409999999999</v>
      </c>
      <c r="E16" s="1">
        <v>100</v>
      </c>
    </row>
    <row r="17" spans="1:5" x14ac:dyDescent="0.2">
      <c r="A17">
        <v>625</v>
      </c>
      <c r="B17">
        <v>16</v>
      </c>
      <c r="C17" s="1">
        <v>2.2711190000000001</v>
      </c>
      <c r="D17" s="2">
        <v>0.23993929999999999</v>
      </c>
      <c r="E17" s="1">
        <v>100</v>
      </c>
    </row>
    <row r="18" spans="1:5" x14ac:dyDescent="0.2">
      <c r="A18">
        <v>625</v>
      </c>
      <c r="B18">
        <v>32</v>
      </c>
      <c r="C18" s="1">
        <v>2.1376689999999998</v>
      </c>
      <c r="D18" s="2">
        <v>0.1030729</v>
      </c>
      <c r="E18" s="1">
        <v>100</v>
      </c>
    </row>
    <row r="19" spans="1:5" x14ac:dyDescent="0.2">
      <c r="A19">
        <v>625</v>
      </c>
      <c r="B19">
        <v>64</v>
      </c>
      <c r="C19" s="1">
        <v>2.0554920000000001</v>
      </c>
      <c r="D19" s="2">
        <v>5.5901350000000002E-2</v>
      </c>
      <c r="E19" s="1">
        <v>100</v>
      </c>
    </row>
    <row r="20" spans="1:5" x14ac:dyDescent="0.2">
      <c r="A20">
        <v>1250</v>
      </c>
      <c r="B20">
        <v>2</v>
      </c>
      <c r="C20" s="1">
        <v>2.2865190000000002</v>
      </c>
      <c r="D20" s="2">
        <v>0.99586459999999999</v>
      </c>
      <c r="E20" s="1">
        <v>100</v>
      </c>
    </row>
    <row r="21" spans="1:5" x14ac:dyDescent="0.2">
      <c r="A21">
        <v>1250</v>
      </c>
      <c r="B21">
        <v>4</v>
      </c>
      <c r="C21" s="1">
        <v>2.0331899999999998</v>
      </c>
      <c r="D21" s="2">
        <v>0.39223710000000001</v>
      </c>
      <c r="E21" s="1">
        <v>100</v>
      </c>
    </row>
    <row r="22" spans="1:5" x14ac:dyDescent="0.2">
      <c r="A22">
        <v>1250</v>
      </c>
      <c r="B22">
        <v>8</v>
      </c>
      <c r="C22" s="1">
        <v>1.8954599999999999</v>
      </c>
      <c r="D22" s="2">
        <v>0.2206998</v>
      </c>
      <c r="E22" s="1">
        <v>100</v>
      </c>
    </row>
    <row r="23" spans="1:5" x14ac:dyDescent="0.2">
      <c r="A23">
        <v>1250</v>
      </c>
      <c r="B23">
        <v>16</v>
      </c>
      <c r="C23" s="1">
        <v>1.747871</v>
      </c>
      <c r="D23" s="2">
        <v>0.18128320000000001</v>
      </c>
      <c r="E23" s="1">
        <v>100</v>
      </c>
    </row>
    <row r="24" spans="1:5" x14ac:dyDescent="0.2">
      <c r="A24">
        <v>1250</v>
      </c>
      <c r="B24">
        <v>32</v>
      </c>
      <c r="C24" s="1">
        <v>1.5341579999999999</v>
      </c>
      <c r="D24" s="2">
        <v>0.1557085</v>
      </c>
      <c r="E24" s="1">
        <v>100</v>
      </c>
    </row>
    <row r="25" spans="1:5" x14ac:dyDescent="0.2">
      <c r="A25">
        <v>1250</v>
      </c>
      <c r="B25">
        <v>64</v>
      </c>
      <c r="C25" s="1">
        <v>1.311463</v>
      </c>
      <c r="D25" s="2">
        <v>9.6282820000000005E-2</v>
      </c>
      <c r="E25" s="1">
        <v>100</v>
      </c>
    </row>
    <row r="26" spans="1:5" x14ac:dyDescent="0.2">
      <c r="A26">
        <v>1875</v>
      </c>
      <c r="B26">
        <v>2</v>
      </c>
      <c r="C26" s="1">
        <v>1.98</v>
      </c>
      <c r="D26" s="2">
        <v>0.14070530000000001</v>
      </c>
      <c r="E26" s="1">
        <v>100</v>
      </c>
    </row>
    <row r="27" spans="1:5" x14ac:dyDescent="0.2">
      <c r="A27">
        <v>1875</v>
      </c>
      <c r="B27">
        <v>4</v>
      </c>
      <c r="C27" s="1">
        <v>1.641213</v>
      </c>
      <c r="D27" s="2">
        <v>0.38639760000000001</v>
      </c>
      <c r="E27" s="1">
        <v>100</v>
      </c>
    </row>
    <row r="28" spans="1:5" x14ac:dyDescent="0.2">
      <c r="A28">
        <v>1875</v>
      </c>
      <c r="B28">
        <v>8</v>
      </c>
      <c r="C28" s="1">
        <v>1.256302</v>
      </c>
      <c r="D28" s="2">
        <v>0.23022619999999999</v>
      </c>
      <c r="E28" s="1">
        <v>100</v>
      </c>
    </row>
    <row r="29" spans="1:5" x14ac:dyDescent="0.2">
      <c r="A29">
        <v>1875</v>
      </c>
      <c r="B29">
        <v>16</v>
      </c>
      <c r="C29" s="1">
        <v>1.1114599999999999</v>
      </c>
      <c r="D29" s="2">
        <v>0.1190889</v>
      </c>
      <c r="E29" s="1">
        <v>100</v>
      </c>
    </row>
    <row r="30" spans="1:5" x14ac:dyDescent="0.2">
      <c r="A30">
        <v>1875</v>
      </c>
      <c r="B30">
        <v>32</v>
      </c>
      <c r="C30" s="1">
        <v>1.112279</v>
      </c>
      <c r="D30" s="2">
        <v>7.8935950000000005E-2</v>
      </c>
      <c r="E30" s="1">
        <v>100</v>
      </c>
    </row>
    <row r="31" spans="1:5" x14ac:dyDescent="0.2">
      <c r="A31">
        <v>1875</v>
      </c>
      <c r="B31">
        <v>64</v>
      </c>
      <c r="C31" s="1">
        <v>1.1491750000000001</v>
      </c>
      <c r="D31" s="2">
        <v>5.94043E-2</v>
      </c>
      <c r="E31" s="1">
        <v>100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Gráficos</vt:lpstr>
      </vt:variant>
      <vt:variant>
        <vt:i4>1</vt:i4>
      </vt:variant>
    </vt:vector>
  </HeadingPairs>
  <TitlesOfParts>
    <vt:vector size="3" baseType="lpstr">
      <vt:lpstr>Planilha1</vt:lpstr>
      <vt:lpstr>Planilha2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Guimaraes FAPESP 2018-14809-0</dc:creator>
  <cp:lastModifiedBy>Paulo Guimaraes FAPESP 2018-14809-0</cp:lastModifiedBy>
  <cp:lastPrinted>2026-01-27T15:18:40Z</cp:lastPrinted>
  <dcterms:created xsi:type="dcterms:W3CDTF">2025-12-11T12:51:00Z</dcterms:created>
  <dcterms:modified xsi:type="dcterms:W3CDTF">2026-02-16T04:12:41Z</dcterms:modified>
</cp:coreProperties>
</file>