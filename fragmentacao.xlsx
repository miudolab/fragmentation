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pinguari/Dropbox/0_1Rebirth/Papers/Aceitos/Oikos/Dryad/Arquivos/raw_data/"/>
    </mc:Choice>
  </mc:AlternateContent>
  <xr:revisionPtr revIDLastSave="0" documentId="13_ncr:1_{53DC4B43-2859-BA4A-BE26-D0A411137525}" xr6:coauthVersionLast="47" xr6:coauthVersionMax="47" xr10:uidLastSave="{00000000-0000-0000-0000-000000000000}"/>
  <bookViews>
    <workbookView xWindow="0" yWindow="3100" windowWidth="29400" windowHeight="15140" activeTab="1" xr2:uid="{545D1F70-79A0-544B-884E-403B63294190}"/>
  </bookViews>
  <sheets>
    <sheet name="Data" sheetId="2" r:id="rId1"/>
    <sheet name="Figure_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F8" i="2"/>
  <c r="G8" i="2" s="1"/>
  <c r="F7" i="2"/>
  <c r="G7" i="2" s="1"/>
  <c r="G6" i="2"/>
  <c r="F6" i="2"/>
  <c r="F5" i="2"/>
  <c r="G5" i="2" s="1"/>
  <c r="F4" i="2"/>
  <c r="G4" i="2" s="1"/>
  <c r="F3" i="2"/>
  <c r="G3" i="2" s="1"/>
  <c r="F2" i="2"/>
  <c r="G2" i="2" s="1"/>
</calcChain>
</file>

<file path=xl/sharedStrings.xml><?xml version="1.0" encoding="utf-8"?>
<sst xmlns="http://schemas.openxmlformats.org/spreadsheetml/2006/main" count="7" uniqueCount="7">
  <si>
    <t>H</t>
  </si>
  <si>
    <t>N</t>
  </si>
  <si>
    <t>L</t>
  </si>
  <si>
    <t>Number of cells (L^2)</t>
  </si>
  <si>
    <t>H(%)</t>
  </si>
  <si>
    <t>Number of fragments</t>
  </si>
  <si>
    <t>mean shortest distance to the nearest fragment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</si>
</sst>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H=5%</c:v>
          </c:tx>
          <c:spPr>
            <a:ln w="412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2"/>
            <c:spPr>
              <a:solidFill>
                <a:schemeClr val="bg1"/>
              </a:solidFill>
              <a:ln w="38100">
                <a:solidFill>
                  <a:schemeClr val="tx1"/>
                </a:solidFill>
              </a:ln>
              <a:effectLst/>
            </c:spPr>
          </c:marker>
          <c:xVal>
            <c:numRef>
              <c:f>Data!$B$2:$B$7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</c:numCache>
            </c:numRef>
          </c:xVal>
          <c:yVal>
            <c:numRef>
              <c:f>Data!$C$2:$C$7</c:f>
              <c:numCache>
                <c:formatCode>#,##0.00</c:formatCode>
                <c:ptCount val="6"/>
                <c:pt idx="0">
                  <c:v>14.42564</c:v>
                </c:pt>
                <c:pt idx="1">
                  <c:v>9.4088919999999998</c:v>
                </c:pt>
                <c:pt idx="2">
                  <c:v>6.1449199999999999</c:v>
                </c:pt>
                <c:pt idx="3">
                  <c:v>4.619688</c:v>
                </c:pt>
                <c:pt idx="4">
                  <c:v>3.8478949999999998</c:v>
                </c:pt>
                <c:pt idx="5">
                  <c:v>3.2578299999999998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03-3B46-8F25-43CA0A1162EC}"/>
            </c:ext>
          </c:extLst>
        </c:ser>
        <c:ser>
          <c:idx val="1"/>
          <c:order val="1"/>
          <c:tx>
            <c:v>H=10%</c:v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diamond"/>
            <c:size val="12"/>
            <c:spPr>
              <a:solidFill>
                <a:schemeClr val="bg1"/>
              </a:solidFill>
              <a:ln w="38100">
                <a:solidFill>
                  <a:schemeClr val="tx1"/>
                </a:solidFill>
              </a:ln>
              <a:effectLst/>
            </c:spPr>
          </c:marker>
          <c:xVal>
            <c:numRef>
              <c:f>Data!$B$8:$B$13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</c:numCache>
            </c:numRef>
          </c:xVal>
          <c:yVal>
            <c:numRef>
              <c:f>Data!$C$8:$C$13</c:f>
              <c:numCache>
                <c:formatCode>#,##0.00</c:formatCode>
                <c:ptCount val="6"/>
                <c:pt idx="0">
                  <c:v>10.65401</c:v>
                </c:pt>
                <c:pt idx="1">
                  <c:v>6.6727660000000002</c:v>
                </c:pt>
                <c:pt idx="2">
                  <c:v>4.7560644439999997</c:v>
                </c:pt>
                <c:pt idx="3">
                  <c:v>3.525274</c:v>
                </c:pt>
                <c:pt idx="4">
                  <c:v>2.9970840000000001</c:v>
                </c:pt>
                <c:pt idx="5">
                  <c:v>2.663106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03-3B46-8F25-43CA0A1162EC}"/>
            </c:ext>
          </c:extLst>
        </c:ser>
        <c:ser>
          <c:idx val="2"/>
          <c:order val="2"/>
          <c:tx>
            <c:v>H=25%</c:v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triangle"/>
            <c:size val="12"/>
            <c:spPr>
              <a:solidFill>
                <a:schemeClr val="bg1"/>
              </a:solidFill>
              <a:ln w="38100">
                <a:solidFill>
                  <a:schemeClr val="tx1"/>
                </a:solidFill>
              </a:ln>
              <a:effectLst/>
            </c:spPr>
          </c:marker>
          <c:xVal>
            <c:numRef>
              <c:f>Data!$B$14:$B$19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</c:numCache>
            </c:numRef>
          </c:xVal>
          <c:yVal>
            <c:numRef>
              <c:f>Data!$C$14:$C$19</c:f>
              <c:numCache>
                <c:formatCode>#,##0.00</c:formatCode>
                <c:ptCount val="6"/>
                <c:pt idx="0">
                  <c:v>4.958736</c:v>
                </c:pt>
                <c:pt idx="1">
                  <c:v>3.5665260000000001</c:v>
                </c:pt>
                <c:pt idx="2">
                  <c:v>2.644533</c:v>
                </c:pt>
                <c:pt idx="3">
                  <c:v>2.2711190000000001</c:v>
                </c:pt>
                <c:pt idx="4">
                  <c:v>2.1376689999999998</c:v>
                </c:pt>
                <c:pt idx="5">
                  <c:v>2.0554920000000001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403-3B46-8F25-43CA0A116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9443919"/>
        <c:axId val="648841023"/>
      </c:scatterChart>
      <c:valAx>
        <c:axId val="879443919"/>
        <c:scaling>
          <c:logBase val="2"/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200" b="1">
                    <a:latin typeface="Arial" panose="020B0604020202020204" pitchFamily="34" charset="0"/>
                    <a:cs typeface="Arial" panose="020B0604020202020204" pitchFamily="34" charset="0"/>
                  </a:rPr>
                  <a:t>Number of fragments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762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8841023"/>
        <c:crosses val="autoZero"/>
        <c:crossBetween val="midCat"/>
      </c:valAx>
      <c:valAx>
        <c:axId val="648841023"/>
        <c:scaling>
          <c:orientation val="minMax"/>
          <c:max val="16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200" b="1" i="0" u="none" strike="noStrike" baseline="0">
                    <a:effectLst/>
                    <a:latin typeface="Arial" panose="020B0604020202020204" pitchFamily="34" charset="0"/>
                    <a:cs typeface="Arial" panose="020B0604020202020204" pitchFamily="34" charset="0"/>
                  </a:rPr>
                  <a:t>Mean shortest distance to the nearest fragment</a:t>
                </a:r>
                <a:endParaRPr lang="pt-BR" sz="2200" b="1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3.9361703996060107E-3"/>
              <c:y val="5.09508030330168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944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564692303567805"/>
          <c:y val="0.10362724806124414"/>
          <c:w val="0.1569417257720705"/>
          <c:h val="0.33147418419673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EAF5C9-D20F-B649-A4F9-6E8C666EE6F9}">
  <sheetPr/>
  <sheetViews>
    <sheetView tabSelected="1" zoomScale="111" workbookViewId="0" zoomToFit="1"/>
  </sheetViews>
  <pageMargins left="0.511811024" right="0.511811024" top="0.78740157499999996" bottom="0.78740157499999996" header="0.31496062000000002" footer="0.31496062000000002"/>
  <pageSetup paperSize="9" orientation="landscape" horizontalDpi="0" verticalDpi="0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79459" cy="602964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D212A-05E7-9361-F377-CA4EEF97DBD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D839C-E99F-6F41-90A5-BD731D824582}">
  <dimension ref="A1:G31"/>
  <sheetViews>
    <sheetView workbookViewId="0">
      <selection activeCell="F11" sqref="F11"/>
    </sheetView>
  </sheetViews>
  <sheetFormatPr baseColWidth="10" defaultRowHeight="16" x14ac:dyDescent="0.2"/>
  <cols>
    <col min="1" max="1" width="10.83203125" style="2"/>
    <col min="2" max="2" width="19" style="2" bestFit="1" customWidth="1"/>
    <col min="3" max="3" width="41.1640625" style="2" bestFit="1" customWidth="1"/>
    <col min="4" max="4" width="4.1640625" style="2" bestFit="1" customWidth="1"/>
    <col min="5" max="5" width="10.83203125" style="2"/>
    <col min="6" max="6" width="19" style="2" bestFit="1" customWidth="1"/>
    <col min="7" max="16384" width="10.83203125" style="2"/>
  </cols>
  <sheetData>
    <row r="1" spans="1:7" s="1" customFormat="1" x14ac:dyDescent="0.2">
      <c r="A1" s="1" t="s">
        <v>0</v>
      </c>
      <c r="B1" s="1" t="s">
        <v>5</v>
      </c>
      <c r="C1" s="1" t="s">
        <v>6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x14ac:dyDescent="0.2">
      <c r="A2" s="2">
        <v>125</v>
      </c>
      <c r="B2" s="2">
        <v>2</v>
      </c>
      <c r="C2" s="4">
        <v>14.42564</v>
      </c>
      <c r="D2" s="3">
        <v>100</v>
      </c>
      <c r="E2" s="2">
        <v>50</v>
      </c>
      <c r="F2" s="2">
        <f>E2*E2</f>
        <v>2500</v>
      </c>
      <c r="G2" s="2">
        <f t="shared" ref="G2:G19" si="0">(A2/F2)*100</f>
        <v>5</v>
      </c>
    </row>
    <row r="3" spans="1:7" x14ac:dyDescent="0.2">
      <c r="A3" s="2">
        <v>125</v>
      </c>
      <c r="B3" s="2">
        <v>4</v>
      </c>
      <c r="C3" s="4">
        <v>9.4088919999999998</v>
      </c>
      <c r="D3" s="3">
        <v>100</v>
      </c>
      <c r="E3" s="2">
        <v>50</v>
      </c>
      <c r="F3" s="2">
        <f t="shared" ref="F3:F19" si="1">E3*E3</f>
        <v>2500</v>
      </c>
      <c r="G3" s="2">
        <f t="shared" si="0"/>
        <v>5</v>
      </c>
    </row>
    <row r="4" spans="1:7" x14ac:dyDescent="0.2">
      <c r="A4" s="2">
        <v>125</v>
      </c>
      <c r="B4" s="2">
        <v>8</v>
      </c>
      <c r="C4" s="4">
        <v>6.1449199999999999</v>
      </c>
      <c r="D4" s="3">
        <v>100</v>
      </c>
      <c r="E4" s="2">
        <v>50</v>
      </c>
      <c r="F4" s="2">
        <f t="shared" si="1"/>
        <v>2500</v>
      </c>
      <c r="G4" s="2">
        <f t="shared" si="0"/>
        <v>5</v>
      </c>
    </row>
    <row r="5" spans="1:7" x14ac:dyDescent="0.2">
      <c r="A5" s="2">
        <v>125</v>
      </c>
      <c r="B5" s="2">
        <v>16</v>
      </c>
      <c r="C5" s="4">
        <v>4.619688</v>
      </c>
      <c r="D5" s="3">
        <v>100</v>
      </c>
      <c r="E5" s="2">
        <v>50</v>
      </c>
      <c r="F5" s="2">
        <f t="shared" si="1"/>
        <v>2500</v>
      </c>
      <c r="G5" s="2">
        <f t="shared" si="0"/>
        <v>5</v>
      </c>
    </row>
    <row r="6" spans="1:7" x14ac:dyDescent="0.2">
      <c r="A6" s="2">
        <v>125</v>
      </c>
      <c r="B6" s="2">
        <v>32</v>
      </c>
      <c r="C6" s="4">
        <v>3.8478949999999998</v>
      </c>
      <c r="D6" s="3">
        <v>100</v>
      </c>
      <c r="E6" s="2">
        <v>50</v>
      </c>
      <c r="F6" s="2">
        <f t="shared" si="1"/>
        <v>2500</v>
      </c>
      <c r="G6" s="2">
        <f t="shared" si="0"/>
        <v>5</v>
      </c>
    </row>
    <row r="7" spans="1:7" x14ac:dyDescent="0.2">
      <c r="A7" s="2">
        <v>125</v>
      </c>
      <c r="B7" s="2">
        <v>64</v>
      </c>
      <c r="C7" s="4">
        <v>3.2578299999999998</v>
      </c>
      <c r="D7" s="3">
        <v>100</v>
      </c>
      <c r="E7" s="2">
        <v>50</v>
      </c>
      <c r="F7" s="2">
        <f t="shared" si="1"/>
        <v>2500</v>
      </c>
      <c r="G7" s="2">
        <f t="shared" si="0"/>
        <v>5</v>
      </c>
    </row>
    <row r="8" spans="1:7" x14ac:dyDescent="0.2">
      <c r="A8" s="2">
        <v>250</v>
      </c>
      <c r="B8" s="2">
        <v>2</v>
      </c>
      <c r="C8" s="4">
        <v>10.65401</v>
      </c>
      <c r="D8" s="3">
        <v>100</v>
      </c>
      <c r="E8" s="2">
        <v>50</v>
      </c>
      <c r="F8" s="2">
        <f t="shared" si="1"/>
        <v>2500</v>
      </c>
      <c r="G8" s="2">
        <f t="shared" si="0"/>
        <v>10</v>
      </c>
    </row>
    <row r="9" spans="1:7" x14ac:dyDescent="0.2">
      <c r="A9" s="2">
        <v>250</v>
      </c>
      <c r="B9" s="2">
        <v>4</v>
      </c>
      <c r="C9" s="4">
        <v>6.6727660000000002</v>
      </c>
      <c r="D9" s="3">
        <v>100</v>
      </c>
      <c r="E9" s="2">
        <v>50</v>
      </c>
      <c r="F9" s="2">
        <f t="shared" si="1"/>
        <v>2500</v>
      </c>
      <c r="G9" s="2">
        <f t="shared" si="0"/>
        <v>10</v>
      </c>
    </row>
    <row r="10" spans="1:7" x14ac:dyDescent="0.2">
      <c r="A10" s="2">
        <v>250</v>
      </c>
      <c r="B10" s="2">
        <v>8</v>
      </c>
      <c r="C10" s="4">
        <v>4.7560644439999997</v>
      </c>
      <c r="D10" s="3">
        <v>100</v>
      </c>
      <c r="E10" s="2">
        <v>50</v>
      </c>
      <c r="F10" s="2">
        <f t="shared" si="1"/>
        <v>2500</v>
      </c>
      <c r="G10" s="2">
        <f t="shared" si="0"/>
        <v>10</v>
      </c>
    </row>
    <row r="11" spans="1:7" x14ac:dyDescent="0.2">
      <c r="A11" s="2">
        <v>250</v>
      </c>
      <c r="B11" s="2">
        <v>16</v>
      </c>
      <c r="C11" s="4">
        <v>3.525274</v>
      </c>
      <c r="D11" s="3">
        <v>100</v>
      </c>
      <c r="E11" s="2">
        <v>50</v>
      </c>
      <c r="F11" s="2">
        <f t="shared" si="1"/>
        <v>2500</v>
      </c>
      <c r="G11" s="2">
        <f t="shared" si="0"/>
        <v>10</v>
      </c>
    </row>
    <row r="12" spans="1:7" x14ac:dyDescent="0.2">
      <c r="A12" s="2">
        <v>250</v>
      </c>
      <c r="B12" s="2">
        <v>32</v>
      </c>
      <c r="C12" s="4">
        <v>2.9970840000000001</v>
      </c>
      <c r="D12" s="3">
        <v>100</v>
      </c>
      <c r="E12" s="2">
        <v>50</v>
      </c>
      <c r="F12" s="2">
        <f t="shared" si="1"/>
        <v>2500</v>
      </c>
      <c r="G12" s="2">
        <f t="shared" si="0"/>
        <v>10</v>
      </c>
    </row>
    <row r="13" spans="1:7" x14ac:dyDescent="0.2">
      <c r="A13" s="2">
        <v>250</v>
      </c>
      <c r="B13" s="2">
        <v>64</v>
      </c>
      <c r="C13" s="4">
        <v>2.663106</v>
      </c>
      <c r="D13" s="3">
        <v>100</v>
      </c>
      <c r="E13" s="2">
        <v>50</v>
      </c>
      <c r="F13" s="2">
        <f t="shared" si="1"/>
        <v>2500</v>
      </c>
      <c r="G13" s="2">
        <f t="shared" si="0"/>
        <v>10</v>
      </c>
    </row>
    <row r="14" spans="1:7" x14ac:dyDescent="0.2">
      <c r="A14" s="2">
        <v>625</v>
      </c>
      <c r="B14" s="2">
        <v>2</v>
      </c>
      <c r="C14" s="4">
        <v>4.958736</v>
      </c>
      <c r="D14" s="3">
        <v>100</v>
      </c>
      <c r="E14" s="2">
        <v>50</v>
      </c>
      <c r="F14" s="2">
        <f t="shared" si="1"/>
        <v>2500</v>
      </c>
      <c r="G14" s="2">
        <f t="shared" si="0"/>
        <v>25</v>
      </c>
    </row>
    <row r="15" spans="1:7" x14ac:dyDescent="0.2">
      <c r="A15" s="2">
        <v>625</v>
      </c>
      <c r="B15" s="2">
        <v>4</v>
      </c>
      <c r="C15" s="4">
        <v>3.5665260000000001</v>
      </c>
      <c r="D15" s="3">
        <v>100</v>
      </c>
      <c r="E15" s="2">
        <v>50</v>
      </c>
      <c r="F15" s="2">
        <f t="shared" si="1"/>
        <v>2500</v>
      </c>
      <c r="G15" s="2">
        <f t="shared" si="0"/>
        <v>25</v>
      </c>
    </row>
    <row r="16" spans="1:7" x14ac:dyDescent="0.2">
      <c r="A16" s="2">
        <v>625</v>
      </c>
      <c r="B16" s="2">
        <v>8</v>
      </c>
      <c r="C16" s="4">
        <v>2.644533</v>
      </c>
      <c r="D16" s="3">
        <v>100</v>
      </c>
      <c r="E16" s="2">
        <v>50</v>
      </c>
      <c r="F16" s="2">
        <f t="shared" si="1"/>
        <v>2500</v>
      </c>
      <c r="G16" s="2">
        <f t="shared" si="0"/>
        <v>25</v>
      </c>
    </row>
    <row r="17" spans="1:7" x14ac:dyDescent="0.2">
      <c r="A17" s="2">
        <v>625</v>
      </c>
      <c r="B17" s="2">
        <v>16</v>
      </c>
      <c r="C17" s="4">
        <v>2.2711190000000001</v>
      </c>
      <c r="D17" s="3">
        <v>100</v>
      </c>
      <c r="E17" s="2">
        <v>50</v>
      </c>
      <c r="F17" s="2">
        <f t="shared" si="1"/>
        <v>2500</v>
      </c>
      <c r="G17" s="2">
        <f t="shared" si="0"/>
        <v>25</v>
      </c>
    </row>
    <row r="18" spans="1:7" x14ac:dyDescent="0.2">
      <c r="A18" s="2">
        <v>625</v>
      </c>
      <c r="B18" s="2">
        <v>32</v>
      </c>
      <c r="C18" s="4">
        <v>2.1376689999999998</v>
      </c>
      <c r="D18" s="3">
        <v>100</v>
      </c>
      <c r="E18" s="2">
        <v>50</v>
      </c>
      <c r="F18" s="2">
        <f t="shared" si="1"/>
        <v>2500</v>
      </c>
      <c r="G18" s="2">
        <f t="shared" si="0"/>
        <v>25</v>
      </c>
    </row>
    <row r="19" spans="1:7" x14ac:dyDescent="0.2">
      <c r="A19" s="2">
        <v>625</v>
      </c>
      <c r="B19" s="2">
        <v>64</v>
      </c>
      <c r="C19" s="4">
        <v>2.0554920000000001</v>
      </c>
      <c r="D19" s="3">
        <v>100</v>
      </c>
      <c r="E19" s="2">
        <v>50</v>
      </c>
      <c r="F19" s="2">
        <f t="shared" si="1"/>
        <v>2500</v>
      </c>
      <c r="G19" s="2">
        <f t="shared" si="0"/>
        <v>25</v>
      </c>
    </row>
    <row r="20" spans="1:7" x14ac:dyDescent="0.2">
      <c r="C20" s="4"/>
      <c r="D20" s="3"/>
    </row>
    <row r="21" spans="1:7" x14ac:dyDescent="0.2">
      <c r="C21" s="4"/>
      <c r="D21" s="3"/>
    </row>
    <row r="22" spans="1:7" x14ac:dyDescent="0.2">
      <c r="C22" s="4"/>
      <c r="D22" s="3"/>
    </row>
    <row r="23" spans="1:7" x14ac:dyDescent="0.2">
      <c r="C23" s="4"/>
      <c r="D23" s="3"/>
    </row>
    <row r="24" spans="1:7" x14ac:dyDescent="0.2">
      <c r="C24" s="4"/>
      <c r="D24" s="3"/>
    </row>
    <row r="25" spans="1:7" x14ac:dyDescent="0.2">
      <c r="C25" s="4"/>
      <c r="D25" s="3"/>
    </row>
    <row r="26" spans="1:7" x14ac:dyDescent="0.2">
      <c r="C26" s="4"/>
      <c r="D26" s="3"/>
    </row>
    <row r="27" spans="1:7" x14ac:dyDescent="0.2">
      <c r="C27" s="4"/>
      <c r="D27" s="3"/>
    </row>
    <row r="28" spans="1:7" x14ac:dyDescent="0.2">
      <c r="C28" s="4"/>
      <c r="D28" s="3"/>
    </row>
    <row r="29" spans="1:7" x14ac:dyDescent="0.2">
      <c r="C29" s="4"/>
      <c r="D29" s="3"/>
    </row>
    <row r="30" spans="1:7" x14ac:dyDescent="0.2">
      <c r="C30" s="4"/>
      <c r="D30" s="3"/>
    </row>
    <row r="31" spans="1:7" x14ac:dyDescent="0.2">
      <c r="C31" s="4"/>
      <c r="D31" s="3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Data</vt:lpstr>
      <vt:lpstr>Figure_2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Guimaraes FAPESP 2018-14809-0</dc:creator>
  <cp:lastModifiedBy>Paulo Guimaraes FAPESP 2018-14809-0</cp:lastModifiedBy>
  <cp:lastPrinted>2026-01-27T15:18:40Z</cp:lastPrinted>
  <dcterms:created xsi:type="dcterms:W3CDTF">2025-12-11T12:51:00Z</dcterms:created>
  <dcterms:modified xsi:type="dcterms:W3CDTF">2026-02-16T17:39:23Z</dcterms:modified>
</cp:coreProperties>
</file>